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ws296\项目文档\需求\"/>
    </mc:Choice>
  </mc:AlternateContent>
  <xr:revisionPtr revIDLastSave="0" documentId="13_ncr:1_{817791D9-6D6E-4BC0-B016-D853BBA93FDA}" xr6:coauthVersionLast="47" xr6:coauthVersionMax="47" xr10:uidLastSave="{00000000-0000-0000-0000-000000000000}"/>
  <bookViews>
    <workbookView xWindow="-108" yWindow="-108" windowWidth="23256" windowHeight="12456" xr2:uid="{619A8216-9127-4ED3-A8E7-140730A66629}"/>
  </bookViews>
  <sheets>
    <sheet name="产品Backlog" sheetId="1" r:id="rId1"/>
    <sheet name="团队速率" sheetId="6" r:id="rId2"/>
    <sheet name="发布燃尽图" sheetId="8" r:id="rId3"/>
  </sheets>
  <definedNames>
    <definedName name="complexity">产品Backlog!$G$7:$G$1315</definedName>
    <definedName name="spri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G4" i="1"/>
</calcChain>
</file>

<file path=xl/sharedStrings.xml><?xml version="1.0" encoding="utf-8"?>
<sst xmlns="http://schemas.openxmlformats.org/spreadsheetml/2006/main" count="194" uniqueCount="100">
  <si>
    <t>totals</t>
  </si>
  <si>
    <t>Sprint</t>
    <phoneticPr fontId="2" type="noConversion"/>
  </si>
  <si>
    <t>PBI_01</t>
    <phoneticPr fontId="2" type="noConversion"/>
  </si>
  <si>
    <t>Sprint1</t>
    <phoneticPr fontId="2" type="noConversion"/>
  </si>
  <si>
    <t>PBI_02</t>
  </si>
  <si>
    <t>PBI_03</t>
  </si>
  <si>
    <t>PBI_04</t>
  </si>
  <si>
    <t>PBI_05</t>
  </si>
  <si>
    <t>PBI_06</t>
  </si>
  <si>
    <t>PBI_07</t>
  </si>
  <si>
    <t>PBI_08</t>
  </si>
  <si>
    <t>PBI_12</t>
  </si>
  <si>
    <t>PBI_13</t>
  </si>
  <si>
    <t>PBI_14</t>
  </si>
  <si>
    <t>PBI_ID</t>
    <phoneticPr fontId="2" type="noConversion"/>
  </si>
  <si>
    <r>
      <t>产品</t>
    </r>
    <r>
      <rPr>
        <b/>
        <sz val="26"/>
        <rFont val="Verdana"/>
        <family val="2"/>
      </rPr>
      <t>Backlog</t>
    </r>
    <phoneticPr fontId="2" type="noConversion"/>
  </si>
  <si>
    <r>
      <t>优先级</t>
    </r>
    <r>
      <rPr>
        <b/>
        <shadow/>
        <sz val="10"/>
        <rFont val="Verdana"/>
        <family val="2"/>
      </rPr>
      <t xml:space="preserve"> </t>
    </r>
    <phoneticPr fontId="2" type="noConversion"/>
  </si>
  <si>
    <r>
      <t>Backlog</t>
    </r>
    <r>
      <rPr>
        <b/>
        <shadow/>
        <sz val="10"/>
        <rFont val="宋体"/>
        <family val="3"/>
        <charset val="134"/>
      </rPr>
      <t>类型</t>
    </r>
    <phoneticPr fontId="2" type="noConversion"/>
  </si>
  <si>
    <t>新需求</t>
    <phoneticPr fontId="2" type="noConversion"/>
  </si>
  <si>
    <r>
      <t>功能性</t>
    </r>
    <r>
      <rPr>
        <b/>
        <shadow/>
        <sz val="10"/>
        <rFont val="Verdana"/>
        <family val="2"/>
      </rPr>
      <t>/</t>
    </r>
    <r>
      <rPr>
        <b/>
        <shadow/>
        <sz val="10"/>
        <rFont val="宋体"/>
        <family val="3"/>
        <charset val="134"/>
      </rPr>
      <t>非功能性</t>
    </r>
    <phoneticPr fontId="2" type="noConversion"/>
  </si>
  <si>
    <t>功能性</t>
    <phoneticPr fontId="2" type="noConversion"/>
  </si>
  <si>
    <t>复杂度</t>
    <phoneticPr fontId="2" type="noConversion"/>
  </si>
  <si>
    <t>调整系数</t>
    <phoneticPr fontId="2" type="noConversion"/>
  </si>
  <si>
    <t>产品（项目）名称</t>
    <phoneticPr fontId="2" type="noConversion"/>
  </si>
  <si>
    <t>产品负责人</t>
    <phoneticPr fontId="2" type="noConversion"/>
  </si>
  <si>
    <t>用户故事（产品Backlog条目描述）</t>
    <phoneticPr fontId="2" type="noConversion"/>
  </si>
  <si>
    <t>PBI_15</t>
  </si>
  <si>
    <t>PBI_16</t>
  </si>
  <si>
    <t>PBI_17</t>
  </si>
  <si>
    <t>PBI_18</t>
  </si>
  <si>
    <t>PBI_19</t>
  </si>
  <si>
    <t>PBI_20</t>
  </si>
  <si>
    <t>PBI_21</t>
  </si>
  <si>
    <t>非功能性</t>
    <phoneticPr fontId="2" type="noConversion"/>
  </si>
  <si>
    <t>验收条件（满意条件）</t>
    <phoneticPr fontId="2" type="noConversion"/>
  </si>
  <si>
    <t>状态</t>
    <phoneticPr fontId="2" type="noConversion"/>
  </si>
  <si>
    <t>Sprint 1</t>
    <phoneticPr fontId="2" type="noConversion"/>
  </si>
  <si>
    <t>Sprint 2</t>
  </si>
  <si>
    <t>Sprint 3</t>
  </si>
  <si>
    <t>Sprint 4</t>
  </si>
  <si>
    <t>Sprint 5</t>
  </si>
  <si>
    <t>Sprints</t>
    <phoneticPr fontId="2" type="noConversion"/>
  </si>
  <si>
    <t>总的工作量</t>
    <phoneticPr fontId="2" type="noConversion"/>
  </si>
  <si>
    <r>
      <t xml:space="preserve">初始工作量估计
</t>
    </r>
    <r>
      <rPr>
        <b/>
        <shadow/>
        <sz val="10"/>
        <rFont val="Verdana"/>
        <family val="2"/>
      </rPr>
      <t>(</t>
    </r>
    <r>
      <rPr>
        <b/>
        <shadow/>
        <sz val="10"/>
        <rFont val="宋体"/>
        <family val="3"/>
        <charset val="134"/>
      </rPr>
      <t>用户故事点</t>
    </r>
    <r>
      <rPr>
        <b/>
        <shadow/>
        <sz val="10"/>
        <rFont val="Verdana"/>
        <family val="2"/>
      </rPr>
      <t>)</t>
    </r>
    <phoneticPr fontId="2" type="noConversion"/>
  </si>
  <si>
    <r>
      <t xml:space="preserve">调整后
工作量估计
</t>
    </r>
    <r>
      <rPr>
        <b/>
        <shadow/>
        <sz val="10"/>
        <rFont val="Verdana"/>
        <family val="2"/>
      </rPr>
      <t>(</t>
    </r>
    <r>
      <rPr>
        <b/>
        <shadow/>
        <sz val="10"/>
        <rFont val="宋体"/>
        <family val="3"/>
        <charset val="134"/>
      </rPr>
      <t>用户故事点</t>
    </r>
    <r>
      <rPr>
        <b/>
        <shadow/>
        <sz val="10"/>
        <rFont val="Verdana"/>
        <family val="2"/>
      </rPr>
      <t>)</t>
    </r>
    <phoneticPr fontId="2" type="noConversion"/>
  </si>
  <si>
    <r>
      <rPr>
        <b/>
        <sz val="10"/>
        <rFont val="宋体"/>
        <family val="3"/>
        <charset val="134"/>
      </rPr>
      <t>阿米</t>
    </r>
    <r>
      <rPr>
        <b/>
        <sz val="10"/>
        <rFont val="Verdana"/>
        <family val="2"/>
      </rPr>
      <t>News</t>
    </r>
    <phoneticPr fontId="2" type="noConversion"/>
  </si>
  <si>
    <t>团队</t>
    <phoneticPr fontId="2" type="noConversion"/>
  </si>
  <si>
    <t>吉尔五沙</t>
    <phoneticPr fontId="2" type="noConversion"/>
  </si>
  <si>
    <t>作为用户，我希望可以查看新闻列表，以了解今日热点</t>
    <phoneticPr fontId="2" type="noConversion"/>
  </si>
  <si>
    <t>成功加载新闻列表页，新闻展示正常</t>
    <phoneticPr fontId="2" type="noConversion"/>
  </si>
  <si>
    <t>低</t>
    <phoneticPr fontId="2" type="noConversion"/>
  </si>
  <si>
    <t>详情页正确显示标题、时间、正文等</t>
    <phoneticPr fontId="2" type="noConversion"/>
  </si>
  <si>
    <t>中</t>
    <phoneticPr fontId="2" type="noConversion"/>
  </si>
  <si>
    <t>点击新闻列表项可正常跳转详情页</t>
    <phoneticPr fontId="2" type="noConversion"/>
  </si>
  <si>
    <t>页面加载时间统计不超过3秒</t>
    <phoneticPr fontId="2" type="noConversion"/>
  </si>
  <si>
    <t>管理员审核新闻内容并进行统计</t>
    <phoneticPr fontId="2" type="noConversion"/>
  </si>
  <si>
    <t>PBI_10</t>
    <phoneticPr fontId="2" type="noConversion"/>
  </si>
  <si>
    <t>所有页面提供PC、平板、手机三种尺寸的响应式设计</t>
    <phoneticPr fontId="2" type="noConversion"/>
  </si>
  <si>
    <t>PBI_11</t>
    <phoneticPr fontId="2" type="noConversion"/>
  </si>
  <si>
    <t>Sprint2</t>
    <phoneticPr fontId="2" type="noConversion"/>
  </si>
  <si>
    <t>PBI_09</t>
    <phoneticPr fontId="2" type="noConversion"/>
  </si>
  <si>
    <t>提供注册和登录入口和界面，能够在后台系统注册账户</t>
    <phoneticPr fontId="2" type="noConversion"/>
  </si>
  <si>
    <t>首页获取订阅源的最新新闻并列表展示</t>
    <phoneticPr fontId="2" type="noConversion"/>
  </si>
  <si>
    <t>提供稍后再看页面，新闻提供稍后再看按钮，可以为账户添加稍后再看</t>
    <phoneticPr fontId="2" type="noConversion"/>
  </si>
  <si>
    <t>搜索界面提供关键词或标签搜索功能并向后台发送请求、获取数据</t>
    <phoneticPr fontId="2" type="noConversion"/>
  </si>
  <si>
    <t>新闻卡片可以正确显示标题、缩略图、来源</t>
    <phoneticPr fontId="2" type="noConversion"/>
  </si>
  <si>
    <t>高</t>
    <phoneticPr fontId="2" type="noConversion"/>
  </si>
  <si>
    <t>主页能够显示新闻趋势</t>
    <phoneticPr fontId="2" type="noConversion"/>
  </si>
  <si>
    <t>新闻可以显示AI摘要</t>
    <phoneticPr fontId="2" type="noConversion"/>
  </si>
  <si>
    <t>可以给创建标签、给新闻打标签，侧边栏可以显示不同分类标签的新闻</t>
    <phoneticPr fontId="2" type="noConversion"/>
  </si>
  <si>
    <t>提供个性化功能，可以修改界面、字体的风格</t>
    <phoneticPr fontId="2" type="noConversion"/>
  </si>
  <si>
    <t>作为用户，我希望可以点击新闻列表，以跳转到新闻详情页跳转</t>
    <phoneticPr fontId="2" type="noConversion"/>
  </si>
  <si>
    <t>作为用户，我希望可以点击新闻，以查看新闻详情内容</t>
    <phoneticPr fontId="2" type="noConversion"/>
  </si>
  <si>
    <t>作为用户，我希望可以浏览新闻时，以查看新闻的标题、缩略图、来源</t>
    <phoneticPr fontId="2" type="noConversion"/>
  </si>
  <si>
    <t>作为用户，我希望可以选取标签或关键词，以搜索新闻来源</t>
    <phoneticPr fontId="2" type="noConversion"/>
  </si>
  <si>
    <t>作为用户，我希望可以保存感兴趣的新闻以便稍后再看</t>
    <phoneticPr fontId="2" type="noConversion"/>
  </si>
  <si>
    <t>作为用户，我希望可以按时间顺序来浏览订阅源的最新新闻</t>
    <phoneticPr fontId="2" type="noConversion"/>
  </si>
  <si>
    <t>作为用户，我希望可以在不同设备上使用本系统，以获得清晰美观的浏览体验</t>
    <phoneticPr fontId="2" type="noConversion"/>
  </si>
  <si>
    <t>作为管理员，我希望可以审核新闻内容，以进行系统的内容审查</t>
    <phoneticPr fontId="2" type="noConversion"/>
  </si>
  <si>
    <t>作为用户，我希望可以使用AI摘要，以查看新闻的AI总结摘要</t>
    <phoneticPr fontId="2" type="noConversion"/>
  </si>
  <si>
    <t>作为用户，我希望可以使用AI总结，以查看最近的新闻趋势</t>
    <phoneticPr fontId="2" type="noConversion"/>
  </si>
  <si>
    <t>作为用户，我希望可以个性化应用界面，让界面风格匹配自己的阅读习惯</t>
    <phoneticPr fontId="2" type="noConversion"/>
  </si>
  <si>
    <t>作为用户，我希望可以归档有价值的新闻，以实现分类展示</t>
    <phoneticPr fontId="2" type="noConversion"/>
  </si>
  <si>
    <t>作为用户，我希望使用时感到应用流畅，加载不卡顿，以实现良好的使用体验</t>
    <phoneticPr fontId="2" type="noConversion"/>
  </si>
  <si>
    <t>作为武汉大学师生，我希望可以关注到武汉大学相关的讯息，以掌握有关学校的舆情</t>
    <phoneticPr fontId="2" type="noConversion"/>
  </si>
  <si>
    <t>系统能准确提供武汉大学相关的新闻</t>
    <phoneticPr fontId="2" type="noConversion"/>
  </si>
  <si>
    <t>Spritn2</t>
    <phoneticPr fontId="2" type="noConversion"/>
  </si>
  <si>
    <t>作为用户，我希望可以进入系统以注册和登录自己的账户</t>
    <phoneticPr fontId="2" type="noConversion"/>
  </si>
  <si>
    <t>系统能够通过邮箱注册并作为用户标识</t>
    <phoneticPr fontId="2" type="noConversion"/>
  </si>
  <si>
    <t>作为用户，我希望可以通过邮箱注册账号，以便找回账号</t>
    <phoneticPr fontId="2" type="noConversion"/>
  </si>
  <si>
    <t>Sprint3</t>
    <phoneticPr fontId="2" type="noConversion"/>
  </si>
  <si>
    <t>作为用户，我希望能够使用AI对话以了解最近新闻的情况</t>
    <phoneticPr fontId="2" type="noConversion"/>
  </si>
  <si>
    <t>作为用户，我希望能够为订阅的频道分类以实现频道管理</t>
    <phoneticPr fontId="2" type="noConversion"/>
  </si>
  <si>
    <t>作为用户，我希望能够通过URL导入RSS源，以订阅自己感兴趣的频道</t>
    <phoneticPr fontId="2" type="noConversion"/>
  </si>
  <si>
    <t>作为用户，我希望能够搜索新闻来源，以查找想要的订阅源</t>
    <phoneticPr fontId="2" type="noConversion"/>
  </si>
  <si>
    <t>系统能够调用大模型生成用户问题相关的回答</t>
    <phoneticPr fontId="2" type="noConversion"/>
  </si>
  <si>
    <t>系统能够用文件夹对订阅源进行分类，并支持创建删除</t>
    <phoneticPr fontId="2" type="noConversion"/>
  </si>
  <si>
    <t>系统能够解析RSS源并提供源信息</t>
    <phoneticPr fontId="2" type="noConversion"/>
  </si>
  <si>
    <t>系统能够搜索存在的订阅源</t>
    <phoneticPr fontId="2" type="noConversion"/>
  </si>
  <si>
    <t>已完成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</si>
</sst>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宋体"/>
      <charset val="134"/>
    </font>
    <font>
      <b/>
      <sz val="26"/>
      <name val="Verdana"/>
      <family val="2"/>
    </font>
    <font>
      <sz val="9"/>
      <name val="宋体"/>
      <family val="3"/>
      <charset val="134"/>
    </font>
    <font>
      <b/>
      <sz val="1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b/>
      <shadow/>
      <sz val="10"/>
      <name val="Verdana"/>
      <family val="2"/>
    </font>
    <font>
      <b/>
      <sz val="26"/>
      <name val="宋体"/>
      <family val="3"/>
      <charset val="134"/>
    </font>
    <font>
      <b/>
      <shadow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2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0"/>
      <name val="Verdana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right" vertical="top" wrapText="1"/>
    </xf>
    <xf numFmtId="49" fontId="0" fillId="0" borderId="1" xfId="0" applyNumberFormat="1" applyBorder="1" applyAlignment="1">
      <alignment wrapText="1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6" fillId="2" borderId="1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>
      <alignment vertical="center"/>
    </xf>
    <xf numFmtId="49" fontId="10" fillId="3" borderId="1" xfId="0" applyNumberFormat="1" applyFont="1" applyFill="1" applyBorder="1" applyAlignment="1">
      <alignment wrapText="1"/>
    </xf>
    <xf numFmtId="0" fontId="0" fillId="4" borderId="1" xfId="0" applyFill="1" applyBorder="1">
      <alignment vertical="center"/>
    </xf>
    <xf numFmtId="49" fontId="10" fillId="4" borderId="1" xfId="0" applyNumberFormat="1" applyFont="1" applyFill="1" applyBorder="1" applyAlignment="1">
      <alignment wrapText="1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6" fillId="2" borderId="5" xfId="0" applyNumberFormat="1" applyFont="1" applyFill="1" applyBorder="1" applyAlignment="1">
      <alignment vertical="center" wrapText="1"/>
    </xf>
    <xf numFmtId="49" fontId="6" fillId="2" borderId="6" xfId="0" applyNumberFormat="1" applyFont="1" applyFill="1" applyBorder="1" applyAlignment="1">
      <alignment vertical="center" wrapText="1"/>
    </xf>
    <xf numFmtId="49" fontId="6" fillId="2" borderId="7" xfId="0" applyNumberFormat="1" applyFont="1" applyFill="1" applyBorder="1" applyAlignment="1">
      <alignment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6" fillId="2" borderId="3" xfId="0" applyNumberFormat="1" applyFont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0" borderId="13" xfId="0" applyBorder="1">
      <alignment vertical="center"/>
    </xf>
    <xf numFmtId="49" fontId="0" fillId="0" borderId="1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8" fillId="2" borderId="6" xfId="0" applyNumberFormat="1" applyFont="1" applyFill="1" applyBorder="1" applyAlignment="1">
      <alignment vertical="center" wrapText="1"/>
    </xf>
    <xf numFmtId="49" fontId="8" fillId="2" borderId="7" xfId="0" applyNumberFormat="1" applyFont="1" applyFill="1" applyBorder="1" applyAlignment="1">
      <alignment vertical="center" wrapText="1"/>
    </xf>
    <xf numFmtId="0" fontId="0" fillId="3" borderId="8" xfId="0" applyFill="1" applyBorder="1">
      <alignment vertical="center"/>
    </xf>
    <xf numFmtId="0" fontId="0" fillId="4" borderId="8" xfId="0" applyFill="1" applyBorder="1">
      <alignment vertical="center"/>
    </xf>
    <xf numFmtId="49" fontId="8" fillId="2" borderId="6" xfId="0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49" fontId="0" fillId="0" borderId="15" xfId="0" applyNumberFormat="1" applyBorder="1" applyAlignment="1">
      <alignment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2" fillId="0" borderId="0" xfId="0" applyFont="1">
      <alignment vertical="center"/>
    </xf>
    <xf numFmtId="49" fontId="13" fillId="0" borderId="1" xfId="0" applyNumberFormat="1" applyFont="1" applyBorder="1" applyAlignment="1">
      <alignment horizontal="center" vertical="top" wrapText="1"/>
    </xf>
    <xf numFmtId="49" fontId="14" fillId="3" borderId="1" xfId="0" applyNumberFormat="1" applyFont="1" applyFill="1" applyBorder="1" applyAlignment="1">
      <alignment wrapText="1"/>
    </xf>
    <xf numFmtId="0" fontId="15" fillId="3" borderId="1" xfId="0" applyFont="1" applyFill="1" applyBorder="1">
      <alignment vertical="center"/>
    </xf>
    <xf numFmtId="0" fontId="15" fillId="3" borderId="9" xfId="0" applyFont="1" applyFill="1" applyBorder="1">
      <alignment vertical="center"/>
    </xf>
    <xf numFmtId="0" fontId="0" fillId="5" borderId="1" xfId="0" applyFill="1" applyBorder="1">
      <alignment vertical="center"/>
    </xf>
    <xf numFmtId="49" fontId="14" fillId="5" borderId="1" xfId="0" applyNumberFormat="1" applyFont="1" applyFill="1" applyBorder="1" applyAlignment="1">
      <alignment wrapText="1"/>
    </xf>
    <xf numFmtId="0" fontId="15" fillId="5" borderId="1" xfId="0" applyFont="1" applyFill="1" applyBorder="1">
      <alignment vertical="center"/>
    </xf>
    <xf numFmtId="0" fontId="15" fillId="5" borderId="9" xfId="0" applyFont="1" applyFill="1" applyBorder="1">
      <alignment vertical="center"/>
    </xf>
    <xf numFmtId="0" fontId="0" fillId="5" borderId="3" xfId="0" applyFill="1" applyBorder="1">
      <alignment vertical="center"/>
    </xf>
    <xf numFmtId="49" fontId="16" fillId="0" borderId="1" xfId="0" applyNumberFormat="1" applyFont="1" applyBorder="1" applyAlignment="1">
      <alignment horizontal="center" vertical="top" wrapText="1"/>
    </xf>
    <xf numFmtId="0" fontId="15" fillId="3" borderId="8" xfId="0" applyFont="1" applyFill="1" applyBorder="1">
      <alignment vertical="center"/>
    </xf>
    <xf numFmtId="0" fontId="15" fillId="4" borderId="1" xfId="0" applyFont="1" applyFill="1" applyBorder="1">
      <alignment vertical="center"/>
    </xf>
    <xf numFmtId="0" fontId="15" fillId="5" borderId="8" xfId="0" applyFont="1" applyFill="1" applyBorder="1">
      <alignment vertical="center"/>
    </xf>
    <xf numFmtId="49" fontId="14" fillId="4" borderId="1" xfId="0" applyNumberFormat="1" applyFont="1" applyFill="1" applyBorder="1" applyAlignment="1">
      <alignment wrapText="1"/>
    </xf>
    <xf numFmtId="49" fontId="7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6" borderId="8" xfId="0" applyFill="1" applyBorder="1">
      <alignment vertical="center"/>
    </xf>
    <xf numFmtId="0" fontId="0" fillId="6" borderId="1" xfId="0" applyFill="1" applyBorder="1">
      <alignment vertical="center"/>
    </xf>
    <xf numFmtId="49" fontId="10" fillId="6" borderId="1" xfId="0" applyNumberFormat="1" applyFont="1" applyFill="1" applyBorder="1" applyAlignment="1">
      <alignment wrapText="1"/>
    </xf>
    <xf numFmtId="0" fontId="15" fillId="6" borderId="9" xfId="0" applyFont="1" applyFill="1" applyBorder="1">
      <alignment vertical="center"/>
    </xf>
    <xf numFmtId="0" fontId="0" fillId="6" borderId="3" xfId="0" applyFill="1" applyBorder="1">
      <alignment vertical="center"/>
    </xf>
    <xf numFmtId="0" fontId="15" fillId="6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发布燃尽图</a:t>
            </a:r>
          </a:p>
        </c:rich>
      </c:tx>
      <c:layout>
        <c:manualLayout>
          <c:xMode val="edge"/>
          <c:yMode val="edge"/>
          <c:x val="0.45604966893385435"/>
          <c:y val="2.03389872787564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57083764219237E-2"/>
          <c:y val="0.11525423728813559"/>
          <c:w val="0.8024819027921406"/>
          <c:h val="0.77118644067796616"/>
        </c:manualLayout>
      </c:layout>
      <c:lineChart>
        <c:grouping val="standard"/>
        <c:varyColors val="0"/>
        <c:ser>
          <c:idx val="0"/>
          <c:order val="0"/>
          <c:tx>
            <c:v>发布燃尽线</c:v>
          </c:tx>
          <c:spPr>
            <a:ln w="12700">
              <a:solidFill>
                <a:srgbClr val="000000"/>
              </a:solidFill>
              <a:prstDash val="solid"/>
            </a:ln>
          </c:spPr>
          <c:val>
            <c:numRef>
              <c:f>产品Backlog!$M$3:$R$3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A0D-A1D1-D54F848973CB}"/>
            </c:ext>
          </c:extLst>
        </c:ser>
        <c:ser>
          <c:idx val="1"/>
          <c:order val="1"/>
          <c:tx>
            <c:v>”实际燃尽线”</c:v>
          </c:tx>
          <c:marker>
            <c:symbol val="square"/>
            <c:size val="5"/>
          </c:marker>
          <c:val>
            <c:numRef>
              <c:f>产品Backlog!$M$5:$R$5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E-4A0D-A1D1-D54F8489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21647"/>
        <c:axId val="1"/>
      </c:lineChart>
      <c:catAx>
        <c:axId val="1342121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/>
                  <a:t>Sprints</a:t>
                </a:r>
              </a:p>
            </c:rich>
          </c:tx>
          <c:layout>
            <c:manualLayout>
              <c:xMode val="edge"/>
              <c:yMode val="edge"/>
              <c:x val="0.44467424441978026"/>
              <c:y val="0.94237283968082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剩余工作量</a:t>
                </a:r>
              </a:p>
            </c:rich>
          </c:tx>
          <c:layout>
            <c:manualLayout>
              <c:xMode val="edge"/>
              <c:yMode val="edge"/>
              <c:x val="1.1375315935757252E-2"/>
              <c:y val="0.4305085343709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34212164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815239010191382"/>
          <c:y val="0.4864130875381274"/>
          <c:w val="0.11184760989808618"/>
          <c:h val="7.608692359788271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34F636-EB4C-406E-B882-B1C7DBECAB82}">
  <sheetPr/>
  <sheetViews>
    <sheetView zoomScale="104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9942" cy="561242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163E36-7986-1DD4-7021-AEFB732C2F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A930-7DA4-413E-8D95-02F78F9F28B6}">
  <dimension ref="A1:S28"/>
  <sheetViews>
    <sheetView tabSelected="1" topLeftCell="E20" zoomScaleNormal="100" workbookViewId="0">
      <selection activeCell="I28" sqref="I28"/>
    </sheetView>
  </sheetViews>
  <sheetFormatPr defaultColWidth="11" defaultRowHeight="15.6" x14ac:dyDescent="0.25"/>
  <cols>
    <col min="1" max="1" width="14.09765625" style="3" customWidth="1"/>
    <col min="2" max="2" width="7.59765625" style="3" customWidth="1"/>
    <col min="3" max="3" width="15.3984375" style="3" customWidth="1"/>
    <col min="4" max="4" width="17" style="3" customWidth="1"/>
    <col min="5" max="5" width="33.3984375" style="2" customWidth="1"/>
    <col min="6" max="6" width="18.09765625" style="2" customWidth="1"/>
    <col min="7" max="7" width="6.19921875" style="3" customWidth="1"/>
    <col min="8" max="8" width="7.5" style="3" customWidth="1"/>
    <col min="9" max="9" width="20.19921875" style="3" customWidth="1"/>
    <col min="10" max="10" width="10.09765625" style="3" customWidth="1"/>
    <col min="11" max="11" width="12" style="3" customWidth="1"/>
    <col min="12" max="15" width="7.59765625" style="3" customWidth="1"/>
    <col min="16" max="16384" width="11" style="3"/>
  </cols>
  <sheetData>
    <row r="1" spans="1:19" ht="33" customHeight="1" x14ac:dyDescent="0.25">
      <c r="A1" s="58" t="s">
        <v>15</v>
      </c>
      <c r="B1" s="59"/>
      <c r="C1" s="8" t="s">
        <v>23</v>
      </c>
      <c r="D1" s="53" t="s">
        <v>45</v>
      </c>
      <c r="H1" s="4"/>
      <c r="I1" s="4"/>
      <c r="J1" s="4"/>
      <c r="L1" s="16"/>
      <c r="M1" s="19" t="s">
        <v>41</v>
      </c>
      <c r="N1" s="20"/>
      <c r="O1" s="20"/>
      <c r="P1" s="20"/>
      <c r="Q1" s="20"/>
      <c r="R1" s="21"/>
      <c r="S1" s="17"/>
    </row>
    <row r="2" spans="1:19" ht="33" customHeight="1" x14ac:dyDescent="0.25">
      <c r="A2" s="58"/>
      <c r="B2" s="59"/>
      <c r="C2" s="8" t="s">
        <v>24</v>
      </c>
      <c r="D2" s="44" t="s">
        <v>47</v>
      </c>
      <c r="H2" s="4"/>
      <c r="J2" s="7" t="s">
        <v>42</v>
      </c>
      <c r="K2" s="3">
        <f>SUM(K7:K27)</f>
        <v>235</v>
      </c>
      <c r="L2" s="16"/>
      <c r="M2" s="22">
        <v>1</v>
      </c>
      <c r="N2" s="15">
        <v>2</v>
      </c>
      <c r="O2" s="15">
        <v>3</v>
      </c>
      <c r="P2" s="15">
        <v>4</v>
      </c>
      <c r="Q2" s="15">
        <v>5</v>
      </c>
      <c r="R2" s="23">
        <v>6</v>
      </c>
      <c r="S2" s="17"/>
    </row>
    <row r="3" spans="1:19" ht="31.5" customHeight="1" thickBot="1" x14ac:dyDescent="0.3">
      <c r="A3" s="59"/>
      <c r="B3" s="59"/>
      <c r="D3" s="1"/>
      <c r="H3" s="9"/>
      <c r="I3" s="9"/>
      <c r="J3" s="5"/>
      <c r="L3" s="16"/>
      <c r="M3" s="24"/>
      <c r="N3" s="25"/>
      <c r="O3" s="25"/>
      <c r="P3" s="25"/>
      <c r="Q3" s="25"/>
      <c r="R3" s="26"/>
      <c r="S3" s="17"/>
    </row>
    <row r="4" spans="1:19" hidden="1" x14ac:dyDescent="0.25">
      <c r="A4" s="30"/>
      <c r="B4" s="30"/>
      <c r="C4" s="30"/>
      <c r="D4" s="30"/>
      <c r="E4" s="31" t="s">
        <v>0</v>
      </c>
      <c r="F4" s="31"/>
      <c r="G4" s="30">
        <f>SUM(complexity)</f>
        <v>0</v>
      </c>
      <c r="H4" s="30"/>
      <c r="I4" s="30"/>
      <c r="J4" s="30"/>
      <c r="K4" s="30"/>
      <c r="L4" s="30"/>
      <c r="M4" s="18"/>
      <c r="N4" s="18"/>
      <c r="O4" s="18"/>
      <c r="P4" s="18"/>
      <c r="Q4" s="18"/>
      <c r="R4" s="18"/>
    </row>
    <row r="5" spans="1:19" ht="16.2" thickBot="1" x14ac:dyDescent="0.3">
      <c r="A5" s="38"/>
      <c r="B5" s="39"/>
      <c r="C5" s="39"/>
      <c r="D5" s="39"/>
      <c r="E5" s="40"/>
      <c r="F5" s="40"/>
      <c r="G5" s="39"/>
      <c r="H5" s="39"/>
      <c r="I5" s="39"/>
      <c r="J5" s="39"/>
      <c r="K5" s="39"/>
      <c r="L5" s="41"/>
      <c r="M5" s="42"/>
      <c r="N5" s="18"/>
      <c r="O5" s="18"/>
      <c r="P5" s="18"/>
      <c r="Q5" s="18"/>
      <c r="R5" s="18"/>
    </row>
    <row r="6" spans="1:19" s="6" customFormat="1" ht="47.25" customHeight="1" x14ac:dyDescent="0.25">
      <c r="A6" s="19" t="s">
        <v>14</v>
      </c>
      <c r="B6" s="33" t="s">
        <v>16</v>
      </c>
      <c r="C6" s="20" t="s">
        <v>17</v>
      </c>
      <c r="D6" s="33" t="s">
        <v>19</v>
      </c>
      <c r="E6" s="33" t="s">
        <v>25</v>
      </c>
      <c r="F6" s="33" t="s">
        <v>34</v>
      </c>
      <c r="G6" s="33" t="s">
        <v>21</v>
      </c>
      <c r="H6" s="20" t="s">
        <v>1</v>
      </c>
      <c r="I6" s="37" t="s">
        <v>43</v>
      </c>
      <c r="J6" s="33" t="s">
        <v>22</v>
      </c>
      <c r="K6" s="37" t="s">
        <v>44</v>
      </c>
      <c r="L6" s="34" t="s">
        <v>35</v>
      </c>
      <c r="M6" s="27"/>
    </row>
    <row r="7" spans="1:19" s="10" customFormat="1" ht="24" x14ac:dyDescent="0.15">
      <c r="A7" s="35" t="s">
        <v>2</v>
      </c>
      <c r="B7" s="10">
        <v>10</v>
      </c>
      <c r="C7" s="10" t="s">
        <v>18</v>
      </c>
      <c r="D7" s="10" t="s">
        <v>20</v>
      </c>
      <c r="E7" s="45" t="s">
        <v>48</v>
      </c>
      <c r="F7" s="45" t="s">
        <v>49</v>
      </c>
      <c r="G7" s="46" t="s">
        <v>50</v>
      </c>
      <c r="H7" s="10" t="s">
        <v>3</v>
      </c>
      <c r="I7" s="10">
        <v>5</v>
      </c>
      <c r="J7" s="10">
        <v>1</v>
      </c>
      <c r="K7" s="10">
        <v>5</v>
      </c>
      <c r="L7" s="47" t="s">
        <v>99</v>
      </c>
      <c r="M7" s="28"/>
    </row>
    <row r="8" spans="1:19" s="10" customFormat="1" ht="24" x14ac:dyDescent="0.15">
      <c r="A8" s="35" t="s">
        <v>4</v>
      </c>
      <c r="B8" s="10">
        <v>9</v>
      </c>
      <c r="C8" s="46" t="s">
        <v>18</v>
      </c>
      <c r="D8" s="10" t="s">
        <v>20</v>
      </c>
      <c r="E8" s="45" t="s">
        <v>71</v>
      </c>
      <c r="F8" s="45" t="s">
        <v>53</v>
      </c>
      <c r="G8" s="46" t="s">
        <v>50</v>
      </c>
      <c r="H8" s="10" t="s">
        <v>3</v>
      </c>
      <c r="I8" s="10">
        <v>2</v>
      </c>
      <c r="J8" s="10">
        <v>1</v>
      </c>
      <c r="K8" s="10">
        <v>2</v>
      </c>
      <c r="L8" s="47" t="s">
        <v>99</v>
      </c>
      <c r="M8" s="28"/>
    </row>
    <row r="9" spans="1:19" s="10" customFormat="1" ht="24" x14ac:dyDescent="0.15">
      <c r="A9" s="35" t="s">
        <v>5</v>
      </c>
      <c r="B9" s="10">
        <v>8</v>
      </c>
      <c r="C9" s="10" t="s">
        <v>18</v>
      </c>
      <c r="D9" s="10" t="s">
        <v>20</v>
      </c>
      <c r="E9" s="45" t="s">
        <v>72</v>
      </c>
      <c r="F9" s="45" t="s">
        <v>51</v>
      </c>
      <c r="G9" s="46" t="s">
        <v>52</v>
      </c>
      <c r="H9" s="10" t="s">
        <v>3</v>
      </c>
      <c r="I9" s="10">
        <v>5</v>
      </c>
      <c r="J9" s="10">
        <v>1</v>
      </c>
      <c r="K9" s="10">
        <v>5</v>
      </c>
      <c r="L9" s="47" t="s">
        <v>99</v>
      </c>
      <c r="M9" s="28"/>
    </row>
    <row r="10" spans="1:19" s="10" customFormat="1" ht="24" x14ac:dyDescent="0.15">
      <c r="A10" s="35" t="s">
        <v>6</v>
      </c>
      <c r="B10" s="10">
        <v>5</v>
      </c>
      <c r="C10" s="10" t="s">
        <v>18</v>
      </c>
      <c r="D10" s="10" t="s">
        <v>20</v>
      </c>
      <c r="E10" s="45" t="s">
        <v>73</v>
      </c>
      <c r="F10" s="45" t="s">
        <v>65</v>
      </c>
      <c r="G10" s="46" t="s">
        <v>52</v>
      </c>
      <c r="H10" s="10" t="s">
        <v>3</v>
      </c>
      <c r="I10" s="10">
        <v>7</v>
      </c>
      <c r="J10" s="10">
        <v>1</v>
      </c>
      <c r="K10" s="10">
        <v>7</v>
      </c>
      <c r="L10" s="47" t="s">
        <v>99</v>
      </c>
      <c r="M10" s="28"/>
    </row>
    <row r="11" spans="1:19" s="10" customFormat="1" ht="36" x14ac:dyDescent="0.15">
      <c r="A11" s="35" t="s">
        <v>7</v>
      </c>
      <c r="B11" s="10">
        <v>7</v>
      </c>
      <c r="C11" s="10" t="s">
        <v>18</v>
      </c>
      <c r="D11" s="10" t="s">
        <v>20</v>
      </c>
      <c r="E11" s="45" t="s">
        <v>74</v>
      </c>
      <c r="F11" s="45" t="s">
        <v>64</v>
      </c>
      <c r="G11" s="46" t="s">
        <v>52</v>
      </c>
      <c r="H11" s="10" t="s">
        <v>3</v>
      </c>
      <c r="I11" s="10">
        <v>5</v>
      </c>
      <c r="J11" s="10">
        <v>1</v>
      </c>
      <c r="K11" s="10">
        <v>5</v>
      </c>
      <c r="L11" s="47" t="s">
        <v>99</v>
      </c>
      <c r="M11" s="28"/>
    </row>
    <row r="12" spans="1:19" s="10" customFormat="1" ht="24" x14ac:dyDescent="0.15">
      <c r="A12" s="35" t="s">
        <v>8</v>
      </c>
      <c r="B12" s="10">
        <v>3</v>
      </c>
      <c r="C12" s="10" t="s">
        <v>18</v>
      </c>
      <c r="D12" s="10" t="s">
        <v>33</v>
      </c>
      <c r="E12" s="11" t="s">
        <v>83</v>
      </c>
      <c r="F12" s="45" t="s">
        <v>54</v>
      </c>
      <c r="G12" s="46" t="s">
        <v>52</v>
      </c>
      <c r="H12" s="10" t="s">
        <v>3</v>
      </c>
      <c r="I12" s="10">
        <v>15</v>
      </c>
      <c r="J12" s="10">
        <v>1</v>
      </c>
      <c r="K12" s="10">
        <v>15</v>
      </c>
      <c r="L12" s="47" t="s">
        <v>99</v>
      </c>
      <c r="M12" s="28"/>
    </row>
    <row r="13" spans="1:19" s="10" customFormat="1" ht="48" x14ac:dyDescent="0.15">
      <c r="A13" s="35" t="s">
        <v>9</v>
      </c>
      <c r="B13" s="10">
        <v>7</v>
      </c>
      <c r="C13" s="10" t="s">
        <v>18</v>
      </c>
      <c r="D13" s="10" t="s">
        <v>20</v>
      </c>
      <c r="E13" s="11" t="s">
        <v>75</v>
      </c>
      <c r="F13" s="45" t="s">
        <v>63</v>
      </c>
      <c r="G13" s="46" t="s">
        <v>52</v>
      </c>
      <c r="H13" s="10" t="s">
        <v>3</v>
      </c>
      <c r="I13" s="10">
        <v>10</v>
      </c>
      <c r="J13" s="10">
        <v>1</v>
      </c>
      <c r="K13" s="10">
        <v>10</v>
      </c>
      <c r="L13" s="47" t="s">
        <v>99</v>
      </c>
      <c r="M13" s="28"/>
    </row>
    <row r="14" spans="1:19" s="10" customFormat="1" ht="24" x14ac:dyDescent="0.15">
      <c r="A14" s="35" t="s">
        <v>10</v>
      </c>
      <c r="B14" s="10">
        <v>10</v>
      </c>
      <c r="C14" s="10" t="s">
        <v>18</v>
      </c>
      <c r="D14" s="46" t="s">
        <v>20</v>
      </c>
      <c r="E14" s="45" t="s">
        <v>76</v>
      </c>
      <c r="F14" s="45" t="s">
        <v>62</v>
      </c>
      <c r="G14" s="46" t="s">
        <v>52</v>
      </c>
      <c r="H14" s="10" t="s">
        <v>3</v>
      </c>
      <c r="I14" s="10">
        <v>8</v>
      </c>
      <c r="J14" s="10">
        <v>1</v>
      </c>
      <c r="K14" s="10">
        <v>8</v>
      </c>
      <c r="L14" s="47" t="s">
        <v>99</v>
      </c>
      <c r="M14" s="28"/>
    </row>
    <row r="15" spans="1:19" s="10" customFormat="1" ht="36" x14ac:dyDescent="0.15">
      <c r="A15" s="54" t="s">
        <v>60</v>
      </c>
      <c r="B15" s="10">
        <v>8</v>
      </c>
      <c r="C15" s="10" t="s">
        <v>18</v>
      </c>
      <c r="D15" s="46" t="s">
        <v>20</v>
      </c>
      <c r="E15" s="11" t="s">
        <v>87</v>
      </c>
      <c r="F15" s="45" t="s">
        <v>61</v>
      </c>
      <c r="G15" s="46" t="s">
        <v>52</v>
      </c>
      <c r="H15" s="10" t="s">
        <v>3</v>
      </c>
      <c r="I15" s="10">
        <v>8</v>
      </c>
      <c r="J15" s="10">
        <v>1</v>
      </c>
      <c r="K15" s="10">
        <v>8</v>
      </c>
      <c r="L15" s="47" t="s">
        <v>99</v>
      </c>
      <c r="M15" s="28"/>
    </row>
    <row r="16" spans="1:19" s="48" customFormat="1" ht="36" x14ac:dyDescent="0.15">
      <c r="A16" s="56" t="s">
        <v>56</v>
      </c>
      <c r="B16" s="48">
        <v>4</v>
      </c>
      <c r="C16" s="48" t="s">
        <v>18</v>
      </c>
      <c r="D16" s="50" t="s">
        <v>33</v>
      </c>
      <c r="E16" s="49" t="s">
        <v>77</v>
      </c>
      <c r="F16" s="49" t="s">
        <v>57</v>
      </c>
      <c r="G16" s="50" t="s">
        <v>50</v>
      </c>
      <c r="H16" s="50" t="s">
        <v>59</v>
      </c>
      <c r="I16" s="48">
        <v>10</v>
      </c>
      <c r="J16" s="48">
        <v>1</v>
      </c>
      <c r="K16" s="48">
        <v>10</v>
      </c>
      <c r="L16" s="51" t="s">
        <v>99</v>
      </c>
      <c r="M16" s="52"/>
    </row>
    <row r="17" spans="1:13" s="48" customFormat="1" ht="24" x14ac:dyDescent="0.15">
      <c r="A17" s="56" t="s">
        <v>58</v>
      </c>
      <c r="B17" s="48">
        <v>3</v>
      </c>
      <c r="C17" s="48" t="s">
        <v>18</v>
      </c>
      <c r="D17" s="48" t="s">
        <v>20</v>
      </c>
      <c r="E17" s="49" t="s">
        <v>78</v>
      </c>
      <c r="F17" s="49" t="s">
        <v>55</v>
      </c>
      <c r="G17" s="50" t="s">
        <v>52</v>
      </c>
      <c r="H17" s="50" t="s">
        <v>59</v>
      </c>
      <c r="I17" s="48">
        <v>15</v>
      </c>
      <c r="J17" s="48">
        <v>1</v>
      </c>
      <c r="K17" s="48">
        <v>15</v>
      </c>
      <c r="L17" s="51" t="s">
        <v>99</v>
      </c>
      <c r="M17" s="52"/>
    </row>
    <row r="18" spans="1:13" s="12" customFormat="1" ht="24" x14ac:dyDescent="0.15">
      <c r="A18" s="36" t="s">
        <v>11</v>
      </c>
      <c r="B18" s="12">
        <v>10</v>
      </c>
      <c r="C18" s="55" t="s">
        <v>18</v>
      </c>
      <c r="D18" s="55" t="s">
        <v>20</v>
      </c>
      <c r="E18" s="57" t="s">
        <v>79</v>
      </c>
      <c r="F18" s="57" t="s">
        <v>68</v>
      </c>
      <c r="G18" s="55" t="s">
        <v>52</v>
      </c>
      <c r="H18" s="55" t="s">
        <v>59</v>
      </c>
      <c r="I18" s="12">
        <v>15</v>
      </c>
      <c r="J18" s="12">
        <v>1</v>
      </c>
      <c r="K18" s="12">
        <v>15</v>
      </c>
      <c r="L18" s="51" t="s">
        <v>99</v>
      </c>
      <c r="M18" s="29"/>
    </row>
    <row r="19" spans="1:13" s="12" customFormat="1" ht="24" x14ac:dyDescent="0.15">
      <c r="A19" s="36" t="s">
        <v>12</v>
      </c>
      <c r="B19" s="12">
        <v>8</v>
      </c>
      <c r="C19" s="55" t="s">
        <v>18</v>
      </c>
      <c r="D19" s="55" t="s">
        <v>20</v>
      </c>
      <c r="E19" s="57" t="s">
        <v>80</v>
      </c>
      <c r="F19" s="57" t="s">
        <v>67</v>
      </c>
      <c r="G19" s="55" t="s">
        <v>66</v>
      </c>
      <c r="H19" s="55" t="s">
        <v>59</v>
      </c>
      <c r="I19" s="12">
        <v>20</v>
      </c>
      <c r="J19" s="12">
        <v>1</v>
      </c>
      <c r="K19" s="12">
        <v>20</v>
      </c>
      <c r="L19" s="51" t="s">
        <v>99</v>
      </c>
      <c r="M19" s="29"/>
    </row>
    <row r="20" spans="1:13" s="12" customFormat="1" ht="48" x14ac:dyDescent="0.15">
      <c r="A20" s="36" t="s">
        <v>13</v>
      </c>
      <c r="B20" s="12">
        <v>7</v>
      </c>
      <c r="C20" s="55" t="s">
        <v>18</v>
      </c>
      <c r="D20" s="55" t="s">
        <v>20</v>
      </c>
      <c r="E20" s="57" t="s">
        <v>82</v>
      </c>
      <c r="F20" s="57" t="s">
        <v>69</v>
      </c>
      <c r="G20" s="55" t="s">
        <v>52</v>
      </c>
      <c r="H20" s="55" t="s">
        <v>59</v>
      </c>
      <c r="I20" s="12">
        <v>10</v>
      </c>
      <c r="J20" s="12">
        <v>1</v>
      </c>
      <c r="K20" s="12">
        <v>10</v>
      </c>
      <c r="L20" s="51" t="s">
        <v>99</v>
      </c>
      <c r="M20" s="29"/>
    </row>
    <row r="21" spans="1:13" s="12" customFormat="1" ht="24" x14ac:dyDescent="0.15">
      <c r="A21" s="36" t="s">
        <v>26</v>
      </c>
      <c r="B21" s="12">
        <v>4</v>
      </c>
      <c r="C21" s="55" t="s">
        <v>18</v>
      </c>
      <c r="D21" s="55" t="s">
        <v>20</v>
      </c>
      <c r="E21" s="57" t="s">
        <v>81</v>
      </c>
      <c r="F21" s="57" t="s">
        <v>70</v>
      </c>
      <c r="G21" s="55" t="s">
        <v>52</v>
      </c>
      <c r="H21" s="55" t="s">
        <v>59</v>
      </c>
      <c r="I21" s="12">
        <v>10</v>
      </c>
      <c r="J21" s="12">
        <v>1</v>
      </c>
      <c r="K21" s="12">
        <v>10</v>
      </c>
      <c r="L21" s="51" t="s">
        <v>99</v>
      </c>
      <c r="M21" s="29"/>
    </row>
    <row r="22" spans="1:13" s="12" customFormat="1" ht="24" x14ac:dyDescent="0.15">
      <c r="A22" s="36" t="s">
        <v>27</v>
      </c>
      <c r="B22" s="12">
        <v>4</v>
      </c>
      <c r="C22" s="55" t="s">
        <v>18</v>
      </c>
      <c r="D22" s="55" t="s">
        <v>20</v>
      </c>
      <c r="E22" s="57" t="s">
        <v>84</v>
      </c>
      <c r="F22" s="57" t="s">
        <v>85</v>
      </c>
      <c r="G22" s="55" t="s">
        <v>66</v>
      </c>
      <c r="H22" s="55" t="s">
        <v>86</v>
      </c>
      <c r="I22" s="12">
        <v>20</v>
      </c>
      <c r="J22" s="12">
        <v>1</v>
      </c>
      <c r="K22" s="12">
        <v>20</v>
      </c>
      <c r="L22" s="51" t="s">
        <v>99</v>
      </c>
      <c r="M22" s="29"/>
    </row>
    <row r="23" spans="1:13" s="12" customFormat="1" ht="24" x14ac:dyDescent="0.15">
      <c r="A23" s="36" t="s">
        <v>28</v>
      </c>
      <c r="B23" s="12">
        <v>4</v>
      </c>
      <c r="C23" s="55" t="s">
        <v>18</v>
      </c>
      <c r="D23" s="55" t="s">
        <v>20</v>
      </c>
      <c r="E23" s="13" t="s">
        <v>89</v>
      </c>
      <c r="F23" s="13" t="s">
        <v>88</v>
      </c>
      <c r="G23" s="55" t="s">
        <v>66</v>
      </c>
      <c r="H23" s="55" t="s">
        <v>59</v>
      </c>
      <c r="I23" s="12">
        <v>20</v>
      </c>
      <c r="J23" s="12">
        <v>1</v>
      </c>
      <c r="K23" s="12">
        <v>20</v>
      </c>
      <c r="L23" s="51" t="s">
        <v>99</v>
      </c>
      <c r="M23" s="29"/>
    </row>
    <row r="24" spans="1:13" s="61" customFormat="1" ht="24" x14ac:dyDescent="0.15">
      <c r="A24" s="60" t="s">
        <v>29</v>
      </c>
      <c r="B24" s="61">
        <v>10</v>
      </c>
      <c r="C24" s="65" t="s">
        <v>18</v>
      </c>
      <c r="D24" s="65" t="s">
        <v>20</v>
      </c>
      <c r="E24" s="62" t="s">
        <v>91</v>
      </c>
      <c r="F24" s="62" t="s">
        <v>95</v>
      </c>
      <c r="G24" s="65" t="s">
        <v>66</v>
      </c>
      <c r="H24" s="65" t="s">
        <v>90</v>
      </c>
      <c r="I24" s="61">
        <v>20</v>
      </c>
      <c r="J24" s="61">
        <v>1</v>
      </c>
      <c r="K24" s="61">
        <v>20</v>
      </c>
      <c r="L24" s="63" t="s">
        <v>99</v>
      </c>
      <c r="M24" s="64"/>
    </row>
    <row r="25" spans="1:13" s="61" customFormat="1" ht="36" x14ac:dyDescent="0.15">
      <c r="A25" s="60" t="s">
        <v>30</v>
      </c>
      <c r="B25" s="61">
        <v>8</v>
      </c>
      <c r="C25" s="65" t="s">
        <v>18</v>
      </c>
      <c r="D25" s="65" t="s">
        <v>20</v>
      </c>
      <c r="E25" s="62" t="s">
        <v>92</v>
      </c>
      <c r="F25" s="62" t="s">
        <v>96</v>
      </c>
      <c r="G25" s="65" t="s">
        <v>52</v>
      </c>
      <c r="H25" s="65" t="s">
        <v>90</v>
      </c>
      <c r="I25" s="61">
        <v>10</v>
      </c>
      <c r="J25" s="61">
        <v>1</v>
      </c>
      <c r="K25" s="61">
        <v>10</v>
      </c>
      <c r="L25" s="63" t="s">
        <v>99</v>
      </c>
      <c r="M25" s="64"/>
    </row>
    <row r="26" spans="1:13" s="61" customFormat="1" ht="24" x14ac:dyDescent="0.15">
      <c r="A26" s="60" t="s">
        <v>31</v>
      </c>
      <c r="B26" s="61">
        <v>8</v>
      </c>
      <c r="C26" s="65" t="s">
        <v>18</v>
      </c>
      <c r="D26" s="65" t="s">
        <v>20</v>
      </c>
      <c r="E26" s="11" t="s">
        <v>93</v>
      </c>
      <c r="F26" s="62" t="s">
        <v>97</v>
      </c>
      <c r="G26" s="65" t="s">
        <v>52</v>
      </c>
      <c r="H26" s="65" t="s">
        <v>90</v>
      </c>
      <c r="I26" s="61">
        <v>10</v>
      </c>
      <c r="J26" s="61">
        <v>1</v>
      </c>
      <c r="K26" s="61">
        <v>10</v>
      </c>
      <c r="L26" s="63" t="s">
        <v>99</v>
      </c>
      <c r="M26" s="64"/>
    </row>
    <row r="27" spans="1:13" s="10" customFormat="1" ht="24" x14ac:dyDescent="0.15">
      <c r="A27" s="60" t="s">
        <v>32</v>
      </c>
      <c r="B27" s="61">
        <v>8</v>
      </c>
      <c r="C27" s="65" t="s">
        <v>18</v>
      </c>
      <c r="D27" s="65" t="s">
        <v>20</v>
      </c>
      <c r="E27" s="11" t="s">
        <v>94</v>
      </c>
      <c r="F27" s="11" t="s">
        <v>98</v>
      </c>
      <c r="G27" s="65" t="s">
        <v>52</v>
      </c>
      <c r="H27" s="65" t="s">
        <v>90</v>
      </c>
      <c r="I27" s="61">
        <v>10</v>
      </c>
      <c r="J27" s="61">
        <v>1</v>
      </c>
      <c r="K27" s="61">
        <v>10</v>
      </c>
      <c r="L27" s="63" t="s">
        <v>99</v>
      </c>
      <c r="M27" s="28"/>
    </row>
    <row r="28" spans="1:13" x14ac:dyDescent="0.25">
      <c r="A28" s="18"/>
      <c r="B28" s="18"/>
      <c r="C28" s="18"/>
      <c r="D28" s="18"/>
      <c r="E28" s="32"/>
      <c r="F28" s="32"/>
      <c r="G28" s="18"/>
      <c r="H28" s="18"/>
      <c r="I28" s="18"/>
      <c r="J28" s="18"/>
      <c r="K28" s="18"/>
      <c r="L28" s="18"/>
    </row>
  </sheetData>
  <mergeCells count="1">
    <mergeCell ref="A1:B3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DB42-03D2-4940-83E8-DDE3CF124A8A}">
  <dimension ref="C6:G12"/>
  <sheetViews>
    <sheetView workbookViewId="0">
      <selection activeCell="H16" sqref="H16"/>
    </sheetView>
  </sheetViews>
  <sheetFormatPr defaultRowHeight="15.6" x14ac:dyDescent="0.25"/>
  <sheetData>
    <row r="6" spans="3:7" x14ac:dyDescent="0.25">
      <c r="C6" s="43" t="s">
        <v>46</v>
      </c>
    </row>
    <row r="8" spans="3:7" x14ac:dyDescent="0.25"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</row>
    <row r="9" spans="3:7" x14ac:dyDescent="0.25">
      <c r="C9" s="3"/>
      <c r="D9" s="3"/>
      <c r="E9" s="3"/>
      <c r="F9" s="3"/>
      <c r="G9" s="3"/>
    </row>
    <row r="12" spans="3:7" x14ac:dyDescent="0.25">
      <c r="C12" s="14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产品Backlog</vt:lpstr>
      <vt:lpstr>团队速率</vt:lpstr>
      <vt:lpstr>发布燃尽图</vt:lpstr>
      <vt:lpstr>complexity</vt:lpstr>
    </vt:vector>
  </TitlesOfParts>
  <Company>eBaoTech.com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jingbin.liao</dc:creator>
  <cp:lastModifiedBy>Wusha Jier</cp:lastModifiedBy>
  <dcterms:created xsi:type="dcterms:W3CDTF">2009-06-03T06:18:15Z</dcterms:created>
  <dcterms:modified xsi:type="dcterms:W3CDTF">2025-07-08T07:41:23Z</dcterms:modified>
</cp:coreProperties>
</file>